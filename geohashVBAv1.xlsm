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go\Desktop\"/>
    </mc:Choice>
  </mc:AlternateContent>
  <bookViews>
    <workbookView xWindow="0" yWindow="0" windowWidth="14370" windowHeight="9660"/>
  </bookViews>
  <sheets>
    <sheet name="test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1" i="2" l="1"/>
  <c r="W21" i="2"/>
  <c r="X21" i="2"/>
  <c r="U21" i="2"/>
  <c r="X20" i="2"/>
  <c r="V20" i="2"/>
  <c r="W20" i="2"/>
  <c r="U20" i="2"/>
  <c r="Q18" i="2"/>
  <c r="Q17" i="2"/>
  <c r="N17" i="2"/>
  <c r="C5" i="2"/>
  <c r="E19" i="2"/>
  <c r="F31" i="2"/>
  <c r="I19" i="2"/>
  <c r="F25" i="2"/>
  <c r="D11" i="2" a="1"/>
  <c r="F19" i="2"/>
  <c r="D19" i="2"/>
  <c r="E31" i="2"/>
  <c r="I31" i="2"/>
  <c r="D31" i="2"/>
  <c r="G31" i="2"/>
  <c r="E25" i="2"/>
  <c r="G19" i="2"/>
  <c r="G25" i="2"/>
  <c r="D25" i="2"/>
  <c r="J25" i="2"/>
  <c r="I25" i="2"/>
  <c r="K19" i="2"/>
  <c r="H31" i="2"/>
  <c r="K31" i="2"/>
  <c r="H19" i="2"/>
  <c r="J31" i="2"/>
  <c r="H25" i="2"/>
  <c r="J19" i="2"/>
  <c r="K25" i="2"/>
  <c r="K27" i="2" l="1"/>
  <c r="J21" i="2"/>
  <c r="H27" i="2"/>
  <c r="J33" i="2"/>
  <c r="H21" i="2"/>
  <c r="K33" i="2"/>
  <c r="H33" i="2"/>
  <c r="K21" i="2"/>
  <c r="I27" i="2"/>
  <c r="J27" i="2"/>
  <c r="D27" i="2"/>
  <c r="G27" i="2"/>
  <c r="G21" i="2"/>
  <c r="E27" i="2"/>
  <c r="G33" i="2"/>
  <c r="D33" i="2"/>
  <c r="I33" i="2"/>
  <c r="E33" i="2"/>
  <c r="D21" i="2"/>
  <c r="F21" i="2"/>
  <c r="E11" i="2"/>
  <c r="E13" i="2" s="1"/>
  <c r="D11" i="2"/>
  <c r="D13" i="2" s="1"/>
  <c r="F27" i="2"/>
  <c r="I21" i="2"/>
  <c r="F33" i="2"/>
  <c r="E21" i="2"/>
  <c r="C7" i="2"/>
</calcChain>
</file>

<file path=xl/comments1.xml><?xml version="1.0" encoding="utf-8"?>
<comments xmlns="http://schemas.openxmlformats.org/spreadsheetml/2006/main">
  <authors>
    <author>nm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array:
(Crtl+Shift+Enter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 xml:space="preserve">not a true test as need to manage precision and decimal places
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 xml:space="preserve">not a true test as need to manage precision and decimal places
</t>
        </r>
      </text>
    </comment>
  </commentList>
</comments>
</file>

<file path=xl/sharedStrings.xml><?xml version="1.0" encoding="utf-8"?>
<sst xmlns="http://schemas.openxmlformats.org/spreadsheetml/2006/main" count="92" uniqueCount="62">
  <si>
    <t>geohash</t>
  </si>
  <si>
    <t>t025bn2</t>
  </si>
  <si>
    <t>N</t>
  </si>
  <si>
    <t>S</t>
  </si>
  <si>
    <t>E</t>
  </si>
  <si>
    <t>W</t>
  </si>
  <si>
    <t>NE</t>
  </si>
  <si>
    <t>SE</t>
  </si>
  <si>
    <t>SW</t>
  </si>
  <si>
    <t>NW</t>
  </si>
  <si>
    <t>t025bn2e8</t>
  </si>
  <si>
    <t>t025bn2eb</t>
  </si>
  <si>
    <t>t025bn2e9</t>
  </si>
  <si>
    <t>t025bn2e2</t>
  </si>
  <si>
    <t>t025bn27x</t>
  </si>
  <si>
    <t>t025bn2ec</t>
  </si>
  <si>
    <t>t025bn2e3</t>
  </si>
  <si>
    <t>t025bn27r</t>
  </si>
  <si>
    <t>t025bn27z</t>
  </si>
  <si>
    <t>should be</t>
  </si>
  <si>
    <t>TESTS</t>
  </si>
  <si>
    <t>RANDOM</t>
  </si>
  <si>
    <t>t025bn8</t>
  </si>
  <si>
    <t>t025bn3</t>
  </si>
  <si>
    <t>t025bn0</t>
  </si>
  <si>
    <t>sbrgzyr</t>
  </si>
  <si>
    <t>t025bn9</t>
  </si>
  <si>
    <t>t025bn1</t>
  </si>
  <si>
    <t>sbrgzyp</t>
  </si>
  <si>
    <t>sbrgzyx</t>
  </si>
  <si>
    <t>sbrgzyrg</t>
  </si>
  <si>
    <t>sbrgzyru</t>
  </si>
  <si>
    <t>t025bn25</t>
  </si>
  <si>
    <t>sbrgzyrf</t>
  </si>
  <si>
    <t>sbrgzyre</t>
  </si>
  <si>
    <t>t025bn2h</t>
  </si>
  <si>
    <t>t025bn24</t>
  </si>
  <si>
    <t>sbrgzyrd</t>
  </si>
  <si>
    <t>sbrgzyrs</t>
  </si>
  <si>
    <t>NEIGHBOURS</t>
  </si>
  <si>
    <t>ENCODE</t>
  </si>
  <si>
    <t>DECODE</t>
  </si>
  <si>
    <t>t025we3</t>
  </si>
  <si>
    <t>lat</t>
  </si>
  <si>
    <t>lon</t>
  </si>
  <si>
    <t>precision</t>
  </si>
  <si>
    <t>t025yw1</t>
  </si>
  <si>
    <t>ODD  edge case-ish</t>
  </si>
  <si>
    <t>EVEN  edge case-ish</t>
  </si>
  <si>
    <t>Encode</t>
  </si>
  <si>
    <t>Decode</t>
  </si>
  <si>
    <t>CalculateAdjacent</t>
  </si>
  <si>
    <t>Latitude:</t>
  </si>
  <si>
    <t>Longitude:</t>
  </si>
  <si>
    <t>geohash:</t>
  </si>
  <si>
    <t>precision:</t>
  </si>
  <si>
    <t>Lat:</t>
  </si>
  <si>
    <t>Lon:</t>
  </si>
  <si>
    <t>EXAMPLE</t>
  </si>
  <si>
    <t>number</t>
  </si>
  <si>
    <t>character</t>
  </si>
  <si>
    <t>using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</si>
</sst>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333333"/>
      <name val="Verdana"/>
      <family val="2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/>
    <xf numFmtId="0" fontId="1" fillId="2" borderId="0" xfId="0" applyFont="1" applyFill="1"/>
    <xf numFmtId="0" fontId="1" fillId="0" borderId="0" xfId="0" applyFont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8" xfId="0" applyFont="1" applyBorder="1"/>
    <xf numFmtId="0" fontId="6" fillId="0" borderId="0" xfId="0" applyFont="1" applyBorder="1"/>
    <xf numFmtId="0" fontId="6" fillId="0" borderId="9" xfId="0" applyFont="1" applyBorder="1"/>
    <xf numFmtId="0" fontId="0" fillId="0" borderId="10" xfId="0" applyBorder="1"/>
    <xf numFmtId="0" fontId="0" fillId="0" borderId="8" xfId="0" applyBorder="1"/>
    <xf numFmtId="0" fontId="1" fillId="0" borderId="1" xfId="0" applyFont="1" applyBorder="1"/>
    <xf numFmtId="0" fontId="0" fillId="0" borderId="13" xfId="0" applyBorder="1"/>
    <xf numFmtId="0" fontId="0" fillId="0" borderId="14" xfId="0" applyBorder="1"/>
    <xf numFmtId="0" fontId="0" fillId="0" borderId="1" xfId="0" applyBorder="1"/>
    <xf numFmtId="0" fontId="6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</cellXfs>
  <cellStyles count="1">
    <cellStyle name="Normal" xfId="0" builtinId="0"/>
  </cellStyles>
  <dxfs count="12"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33"/>
  <sheetViews>
    <sheetView tabSelected="1" topLeftCell="B4" zoomScale="85" zoomScaleNormal="85" workbookViewId="0">
      <selection activeCell="T20" sqref="T20"/>
    </sheetView>
  </sheetViews>
  <sheetFormatPr defaultRowHeight="15" x14ac:dyDescent="0.25"/>
  <cols>
    <col min="1" max="1" width="21.140625" customWidth="1"/>
    <col min="2" max="2" width="12.140625" customWidth="1"/>
    <col min="3" max="3" width="12.85546875" customWidth="1"/>
    <col min="4" max="4" width="10.28515625" bestFit="1" customWidth="1"/>
    <col min="5" max="5" width="10" bestFit="1" customWidth="1"/>
    <col min="6" max="10" width="10.140625" bestFit="1" customWidth="1"/>
    <col min="11" max="11" width="10.28515625" bestFit="1" customWidth="1"/>
    <col min="14" max="14" width="10.85546875" bestFit="1" customWidth="1"/>
    <col min="15" max="15" width="10.5703125" customWidth="1"/>
    <col min="16" max="16" width="8" bestFit="1" customWidth="1"/>
    <col min="17" max="17" width="12.85546875" customWidth="1"/>
    <col min="18" max="18" width="5.42578125" customWidth="1"/>
    <col min="19" max="19" width="10.28515625" customWidth="1"/>
    <col min="20" max="20" width="9.5703125" bestFit="1" customWidth="1"/>
    <col min="21" max="21" width="7.5703125" bestFit="1" customWidth="1"/>
    <col min="22" max="22" width="8.140625" bestFit="1" customWidth="1"/>
    <col min="23" max="24" width="7.85546875" bestFit="1" customWidth="1"/>
    <col min="25" max="25" width="7.42578125" customWidth="1"/>
  </cols>
  <sheetData>
    <row r="1" spans="1:19" x14ac:dyDescent="0.25">
      <c r="A1" t="s">
        <v>20</v>
      </c>
    </row>
    <row r="3" spans="1:19" x14ac:dyDescent="0.25">
      <c r="A3" s="4" t="s">
        <v>40</v>
      </c>
      <c r="B3" s="4"/>
      <c r="C3" s="4"/>
      <c r="D3" s="4"/>
      <c r="E3" s="4"/>
      <c r="F3" s="4"/>
      <c r="G3" s="4"/>
      <c r="H3" s="4"/>
      <c r="I3" s="4"/>
      <c r="J3" s="4"/>
      <c r="K3" s="4"/>
    </row>
    <row r="4" spans="1:19" x14ac:dyDescent="0.25">
      <c r="D4" t="s">
        <v>43</v>
      </c>
      <c r="E4" t="s">
        <v>44</v>
      </c>
      <c r="F4" t="s">
        <v>45</v>
      </c>
    </row>
    <row r="5" spans="1:19" x14ac:dyDescent="0.25">
      <c r="C5" t="str">
        <f>encode(D5,E5,F5)</f>
        <v>t025yw1</v>
      </c>
      <c r="D5">
        <v>2.0991</v>
      </c>
      <c r="E5">
        <v>45.287700000000001</v>
      </c>
      <c r="F5">
        <v>7</v>
      </c>
    </row>
    <row r="6" spans="1:19" x14ac:dyDescent="0.25">
      <c r="B6" s="2" t="s">
        <v>19</v>
      </c>
      <c r="C6" t="s">
        <v>46</v>
      </c>
    </row>
    <row r="7" spans="1:19" x14ac:dyDescent="0.25">
      <c r="C7" t="str">
        <f>IF(C5=C6,"OK","wrong")</f>
        <v>OK</v>
      </c>
    </row>
    <row r="9" spans="1:19" x14ac:dyDescent="0.25">
      <c r="A9" s="4" t="s">
        <v>41</v>
      </c>
      <c r="B9" s="4"/>
      <c r="C9" s="4"/>
      <c r="D9" s="4"/>
      <c r="E9" s="4"/>
      <c r="F9" s="4"/>
      <c r="G9" s="4"/>
      <c r="H9" s="4"/>
      <c r="I9" s="4"/>
      <c r="J9" s="4"/>
      <c r="K9" s="4"/>
    </row>
    <row r="10" spans="1:19" x14ac:dyDescent="0.25">
      <c r="C10" t="s">
        <v>0</v>
      </c>
      <c r="D10" t="s">
        <v>43</v>
      </c>
      <c r="E10" t="s">
        <v>44</v>
      </c>
      <c r="N10" s="5" t="s">
        <v>58</v>
      </c>
    </row>
    <row r="11" spans="1:19" x14ac:dyDescent="0.25">
      <c r="C11" s="3" t="s">
        <v>42</v>
      </c>
      <c r="D11">
        <f t="array" ref="D11:E11">decode(C11)</f>
        <v>2.0400238037109375</v>
      </c>
      <c r="E11">
        <v>45.287704467773438</v>
      </c>
      <c r="N11" s="23" t="s">
        <v>52</v>
      </c>
      <c r="O11" s="24">
        <v>2.1</v>
      </c>
    </row>
    <row r="12" spans="1:19" x14ac:dyDescent="0.25">
      <c r="B12" s="2" t="s">
        <v>19</v>
      </c>
      <c r="D12">
        <v>2.04</v>
      </c>
      <c r="E12">
        <v>45.287700000000001</v>
      </c>
      <c r="N12" s="23" t="s">
        <v>53</v>
      </c>
      <c r="O12" s="24">
        <v>45</v>
      </c>
    </row>
    <row r="13" spans="1:19" x14ac:dyDescent="0.25">
      <c r="B13" s="2"/>
      <c r="D13" t="str">
        <f>IF(ROUND(D11,LEN($C11)-3)=ROUND(D12,LEN($C11)-3),"OK","wrong")</f>
        <v>OK</v>
      </c>
      <c r="E13" t="str">
        <f>IF(ROUND(E11,LEN($C11)-3)=ROUND(E12,LEN($C11)-3),"OK","wrong")</f>
        <v>OK</v>
      </c>
      <c r="N13" s="23" t="s">
        <v>55</v>
      </c>
      <c r="O13" s="24">
        <v>7</v>
      </c>
    </row>
    <row r="14" spans="1:19" x14ac:dyDescent="0.25">
      <c r="N14" s="23" t="s">
        <v>54</v>
      </c>
      <c r="O14" s="24" t="s">
        <v>25</v>
      </c>
    </row>
    <row r="15" spans="1:19" x14ac:dyDescent="0.25">
      <c r="A15" s="4" t="s">
        <v>39</v>
      </c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9" x14ac:dyDescent="0.25">
      <c r="N16" s="5" t="s">
        <v>49</v>
      </c>
      <c r="P16" s="5" t="s">
        <v>50</v>
      </c>
      <c r="S16" s="5" t="s">
        <v>51</v>
      </c>
    </row>
    <row r="17" spans="1:24" x14ac:dyDescent="0.25">
      <c r="D17" s="1">
        <v>0</v>
      </c>
      <c r="E17" s="1">
        <v>1</v>
      </c>
      <c r="F17" s="1">
        <v>2</v>
      </c>
      <c r="G17" s="1">
        <v>3</v>
      </c>
      <c r="N17" s="22" t="str">
        <f>encode(O11,O12,7)</f>
        <v>sbrgzyr</v>
      </c>
      <c r="P17" s="21" t="s">
        <v>56</v>
      </c>
      <c r="Q17" s="22">
        <f>DecodeLat(O14)</f>
        <v>2.1004486083984375</v>
      </c>
    </row>
    <row r="18" spans="1:24" x14ac:dyDescent="0.25">
      <c r="D18" t="s">
        <v>2</v>
      </c>
      <c r="E18" t="s">
        <v>4</v>
      </c>
      <c r="F18" t="s">
        <v>3</v>
      </c>
      <c r="G18" t="s">
        <v>5</v>
      </c>
      <c r="H18" t="s">
        <v>6</v>
      </c>
      <c r="I18" t="s">
        <v>7</v>
      </c>
      <c r="J18" t="s">
        <v>8</v>
      </c>
      <c r="K18" t="s">
        <v>9</v>
      </c>
      <c r="P18" s="21" t="s">
        <v>57</v>
      </c>
      <c r="Q18" s="22">
        <f>DecodeLon(N17)</f>
        <v>44.999313354492188</v>
      </c>
      <c r="U18" s="9">
        <v>0</v>
      </c>
      <c r="V18" s="10">
        <v>1</v>
      </c>
      <c r="W18" s="10">
        <v>2</v>
      </c>
      <c r="X18" s="11">
        <v>3</v>
      </c>
    </row>
    <row r="19" spans="1:24" x14ac:dyDescent="0.25">
      <c r="A19" t="s">
        <v>21</v>
      </c>
      <c r="C19" t="s">
        <v>10</v>
      </c>
      <c r="D19" t="str">
        <f>CalculateAdjacent(C19,D17)</f>
        <v>t025bn2eb</v>
      </c>
      <c r="E19" t="str">
        <f>CalculateAdjacent(C19,E17)</f>
        <v>t025bn2e9</v>
      </c>
      <c r="F19" t="str">
        <f>CalculateAdjacent(C19,F17)</f>
        <v>t025bn2e2</v>
      </c>
      <c r="G19" t="str">
        <f>CalculateAdjacent(C19,G17)</f>
        <v>t025bn27x</v>
      </c>
      <c r="H19" t="str">
        <f>CalculateAdjacent(E19,0)</f>
        <v>t025bn2ec</v>
      </c>
      <c r="I19" t="str">
        <f>CalculateAdjacent(E19,2)</f>
        <v>t025bn2e3</v>
      </c>
      <c r="J19" t="str">
        <f>CalculateAdjacent(G19,2)</f>
        <v>t025bn27r</v>
      </c>
      <c r="K19" t="str">
        <f>CalculateAdjacent(G19,0)</f>
        <v>t025bn27z</v>
      </c>
      <c r="S19" s="6" t="s">
        <v>0</v>
      </c>
      <c r="T19" s="18" t="s">
        <v>61</v>
      </c>
      <c r="U19" s="12" t="s">
        <v>2</v>
      </c>
      <c r="V19" s="7" t="s">
        <v>4</v>
      </c>
      <c r="W19" s="7" t="s">
        <v>3</v>
      </c>
      <c r="X19" s="8" t="s">
        <v>5</v>
      </c>
    </row>
    <row r="20" spans="1:24" x14ac:dyDescent="0.25">
      <c r="B20" s="2" t="s">
        <v>19</v>
      </c>
      <c r="C20" s="2"/>
      <c r="D20" s="2" t="s">
        <v>11</v>
      </c>
      <c r="E20" s="2" t="s">
        <v>12</v>
      </c>
      <c r="F20" s="2" t="s">
        <v>13</v>
      </c>
      <c r="G20" s="2" t="s">
        <v>14</v>
      </c>
      <c r="H20" s="2" t="s">
        <v>15</v>
      </c>
      <c r="I20" s="2" t="s">
        <v>16</v>
      </c>
      <c r="J20" s="2" t="s">
        <v>17</v>
      </c>
      <c r="K20" s="2" t="s">
        <v>18</v>
      </c>
      <c r="S20" s="17" t="s">
        <v>25</v>
      </c>
      <c r="T20" s="19" t="s">
        <v>59</v>
      </c>
      <c r="U20" s="13" t="str">
        <f>CalculateAdjacent($S$20,U19)</f>
        <v>sbrgzyx</v>
      </c>
      <c r="V20" s="14" t="str">
        <f t="shared" ref="V20:X20" si="0">CalculateAdjacent($S$20,V19)</f>
        <v>t025bn2</v>
      </c>
      <c r="W20" s="14" t="str">
        <f t="shared" si="0"/>
        <v>sbrgzyp</v>
      </c>
      <c r="X20" s="15" t="str">
        <f t="shared" si="0"/>
        <v>sbrgzyq</v>
      </c>
    </row>
    <row r="21" spans="1:24" x14ac:dyDescent="0.25">
      <c r="D21" t="str">
        <f>IF(D19=D20,"OK","wrong")</f>
        <v>OK</v>
      </c>
      <c r="E21" t="str">
        <f t="shared" ref="E21:K21" si="1">IF(E19=E20,"OK","wrong")</f>
        <v>OK</v>
      </c>
      <c r="F21" t="str">
        <f t="shared" si="1"/>
        <v>OK</v>
      </c>
      <c r="G21" t="str">
        <f t="shared" si="1"/>
        <v>OK</v>
      </c>
      <c r="H21" t="str">
        <f t="shared" si="1"/>
        <v>OK</v>
      </c>
      <c r="I21" t="str">
        <f t="shared" si="1"/>
        <v>OK</v>
      </c>
      <c r="J21" t="str">
        <f t="shared" si="1"/>
        <v>OK</v>
      </c>
      <c r="K21" t="str">
        <f t="shared" si="1"/>
        <v>OK</v>
      </c>
      <c r="S21" s="16" t="s">
        <v>25</v>
      </c>
      <c r="T21" s="20" t="s">
        <v>60</v>
      </c>
      <c r="U21" s="25" t="str">
        <f>CalculateAdjacent($S$21,U18)</f>
        <v>sbrgzyx</v>
      </c>
      <c r="V21" s="26" t="str">
        <f t="shared" ref="V21:X21" si="2">CalculateAdjacent($S$21,V18)</f>
        <v>t025bn2</v>
      </c>
      <c r="W21" s="26" t="str">
        <f t="shared" si="2"/>
        <v>sbrgzyp</v>
      </c>
      <c r="X21" s="27" t="str">
        <f t="shared" si="2"/>
        <v>sbrgzyq</v>
      </c>
    </row>
    <row r="23" spans="1:24" x14ac:dyDescent="0.25">
      <c r="D23" s="1">
        <v>0</v>
      </c>
      <c r="E23" s="1">
        <v>1</v>
      </c>
      <c r="F23" s="1">
        <v>2</v>
      </c>
      <c r="G23" s="1">
        <v>3</v>
      </c>
    </row>
    <row r="24" spans="1:24" x14ac:dyDescent="0.25">
      <c r="D24" t="s">
        <v>2</v>
      </c>
      <c r="E24" t="s">
        <v>4</v>
      </c>
      <c r="F24" t="s">
        <v>3</v>
      </c>
      <c r="G24" t="s">
        <v>5</v>
      </c>
      <c r="H24" t="s">
        <v>6</v>
      </c>
      <c r="I24" t="s">
        <v>7</v>
      </c>
      <c r="J24" t="s">
        <v>8</v>
      </c>
      <c r="K24" t="s">
        <v>9</v>
      </c>
    </row>
    <row r="25" spans="1:24" x14ac:dyDescent="0.25">
      <c r="A25" t="s">
        <v>47</v>
      </c>
      <c r="C25" t="s">
        <v>1</v>
      </c>
      <c r="D25" t="str">
        <f>CalculateAdjacent(C25,D23)</f>
        <v>t025bn8</v>
      </c>
      <c r="E25" t="str">
        <f>CalculateAdjacent(C25,E23)</f>
        <v>t025bn3</v>
      </c>
      <c r="F25" t="str">
        <f>CalculateAdjacent(C25,F23)</f>
        <v>t025bn0</v>
      </c>
      <c r="G25" t="str">
        <f>CalculateAdjacent(C25,G23)</f>
        <v>sbrgzyr</v>
      </c>
      <c r="H25" t="str">
        <f>CalculateAdjacent(E25,0)</f>
        <v>t025bn9</v>
      </c>
      <c r="I25" t="str">
        <f>CalculateAdjacent(E25,2)</f>
        <v>t025bn1</v>
      </c>
      <c r="J25" t="str">
        <f>CalculateAdjacent(G25,2)</f>
        <v>sbrgzyp</v>
      </c>
      <c r="K25" t="str">
        <f>CalculateAdjacent(G25,0)</f>
        <v>sbrgzyx</v>
      </c>
    </row>
    <row r="26" spans="1:24" x14ac:dyDescent="0.25">
      <c r="B26" s="2" t="s">
        <v>19</v>
      </c>
      <c r="C26" s="2"/>
      <c r="D26" s="2" t="s">
        <v>22</v>
      </c>
      <c r="E26" s="2" t="s">
        <v>23</v>
      </c>
      <c r="F26" s="2" t="s">
        <v>24</v>
      </c>
      <c r="G26" s="2" t="s">
        <v>25</v>
      </c>
      <c r="H26" s="2" t="s">
        <v>26</v>
      </c>
      <c r="I26" s="2" t="s">
        <v>27</v>
      </c>
      <c r="J26" s="2" t="s">
        <v>28</v>
      </c>
      <c r="K26" s="2" t="s">
        <v>29</v>
      </c>
    </row>
    <row r="27" spans="1:24" x14ac:dyDescent="0.25">
      <c r="D27" t="str">
        <f>IF(D25=D26,"OK","wrong")</f>
        <v>OK</v>
      </c>
      <c r="E27" t="str">
        <f t="shared" ref="E27" si="3">IF(E25=E26,"OK","wrong")</f>
        <v>OK</v>
      </c>
      <c r="F27" t="str">
        <f t="shared" ref="F27" si="4">IF(F25=F26,"OK","wrong")</f>
        <v>OK</v>
      </c>
      <c r="G27" t="str">
        <f t="shared" ref="G27" si="5">IF(G25=G26,"OK","wrong")</f>
        <v>OK</v>
      </c>
      <c r="H27" t="str">
        <f t="shared" ref="H27" si="6">IF(H25=H26,"OK","wrong")</f>
        <v>OK</v>
      </c>
      <c r="I27" t="str">
        <f t="shared" ref="I27" si="7">IF(I25=I26,"OK","wrong")</f>
        <v>OK</v>
      </c>
      <c r="J27" t="str">
        <f t="shared" ref="J27" si="8">IF(J25=J26,"OK","wrong")</f>
        <v>OK</v>
      </c>
      <c r="K27" t="str">
        <f t="shared" ref="K27" si="9">IF(K25=K26,"OK","wrong")</f>
        <v>OK</v>
      </c>
    </row>
    <row r="29" spans="1:24" x14ac:dyDescent="0.25">
      <c r="D29" s="1">
        <v>0</v>
      </c>
      <c r="E29" s="1">
        <v>1</v>
      </c>
      <c r="F29" s="1">
        <v>2</v>
      </c>
      <c r="G29" s="1">
        <v>3</v>
      </c>
    </row>
    <row r="30" spans="1:24" x14ac:dyDescent="0.25">
      <c r="D30" t="s">
        <v>2</v>
      </c>
      <c r="E30" t="s">
        <v>4</v>
      </c>
      <c r="F30" t="s">
        <v>3</v>
      </c>
      <c r="G30" t="s">
        <v>5</v>
      </c>
      <c r="H30" t="s">
        <v>6</v>
      </c>
      <c r="I30" t="s">
        <v>7</v>
      </c>
      <c r="J30" t="s">
        <v>8</v>
      </c>
      <c r="K30" t="s">
        <v>9</v>
      </c>
    </row>
    <row r="31" spans="1:24" x14ac:dyDescent="0.25">
      <c r="A31" t="s">
        <v>48</v>
      </c>
      <c r="C31" t="s">
        <v>30</v>
      </c>
      <c r="D31" t="str">
        <f t="shared" ref="D31" si="10">CalculateAdjacent(C31,D29)</f>
        <v>sbrgzyru</v>
      </c>
      <c r="E31" t="str">
        <f>CalculateAdjacent(C31,E29)</f>
        <v>t025bn25</v>
      </c>
      <c r="F31" t="str">
        <f>CalculateAdjacent(C31,F29)</f>
        <v>sbrgzyrf</v>
      </c>
      <c r="G31" t="str">
        <f>CalculateAdjacent(C31,G29)</f>
        <v>sbrgzyre</v>
      </c>
      <c r="H31" t="str">
        <f>CalculateAdjacent(E31,0)</f>
        <v>t025bn2h</v>
      </c>
      <c r="I31" t="str">
        <f>CalculateAdjacent(E31,2)</f>
        <v>t025bn24</v>
      </c>
      <c r="J31" t="str">
        <f>CalculateAdjacent(G31,2)</f>
        <v>sbrgzyrd</v>
      </c>
      <c r="K31" t="str">
        <f>CalculateAdjacent(G31,0)</f>
        <v>sbrgzyrs</v>
      </c>
    </row>
    <row r="32" spans="1:24" x14ac:dyDescent="0.25">
      <c r="B32" s="2" t="s">
        <v>19</v>
      </c>
      <c r="C32" s="2"/>
      <c r="D32" s="2" t="s">
        <v>31</v>
      </c>
      <c r="E32" s="2" t="s">
        <v>32</v>
      </c>
      <c r="F32" s="2" t="s">
        <v>33</v>
      </c>
      <c r="G32" s="2" t="s">
        <v>34</v>
      </c>
      <c r="H32" s="2" t="s">
        <v>35</v>
      </c>
      <c r="I32" s="2" t="s">
        <v>36</v>
      </c>
      <c r="J32" s="2" t="s">
        <v>37</v>
      </c>
      <c r="K32" s="2" t="s">
        <v>38</v>
      </c>
    </row>
    <row r="33" spans="4:11" x14ac:dyDescent="0.25">
      <c r="D33" t="str">
        <f>IF(D31=D32,"OK","wrong")</f>
        <v>OK</v>
      </c>
      <c r="E33" t="str">
        <f t="shared" ref="E33" si="11">IF(E31=E32,"OK","wrong")</f>
        <v>OK</v>
      </c>
      <c r="F33" t="str">
        <f t="shared" ref="F33" si="12">IF(F31=F32,"OK","wrong")</f>
        <v>OK</v>
      </c>
      <c r="G33" t="str">
        <f t="shared" ref="G33" si="13">IF(G31=G32,"OK","wrong")</f>
        <v>OK</v>
      </c>
      <c r="H33" t="str">
        <f t="shared" ref="H33" si="14">IF(H31=H32,"OK","wrong")</f>
        <v>OK</v>
      </c>
      <c r="I33" t="str">
        <f t="shared" ref="I33" si="15">IF(I31=I32,"OK","wrong")</f>
        <v>OK</v>
      </c>
      <c r="J33" t="str">
        <f t="shared" ref="J33" si="16">IF(J31=J32,"OK","wrong")</f>
        <v>OK</v>
      </c>
      <c r="K33" t="str">
        <f t="shared" ref="K33" si="17">IF(K31=K32,"OK","wrong")</f>
        <v>OK</v>
      </c>
    </row>
  </sheetData>
  <conditionalFormatting sqref="D21:K21">
    <cfRule type="cellIs" dxfId="11" priority="11" operator="notEqual">
      <formula>"OK"</formula>
    </cfRule>
    <cfRule type="cellIs" dxfId="10" priority="17" operator="equal">
      <formula>"OK"</formula>
    </cfRule>
  </conditionalFormatting>
  <conditionalFormatting sqref="D27:K27">
    <cfRule type="cellIs" dxfId="9" priority="9" operator="notEqual">
      <formula>"OK"</formula>
    </cfRule>
    <cfRule type="cellIs" dxfId="8" priority="10" operator="equal">
      <formula>"OK"</formula>
    </cfRule>
  </conditionalFormatting>
  <conditionalFormatting sqref="D33:K33">
    <cfRule type="cellIs" dxfId="7" priority="7" operator="notEqual">
      <formula>"OK"</formula>
    </cfRule>
    <cfRule type="cellIs" dxfId="6" priority="8" operator="equal">
      <formula>"OK"</formula>
    </cfRule>
  </conditionalFormatting>
  <conditionalFormatting sqref="C7">
    <cfRule type="cellIs" dxfId="5" priority="5" operator="notEqual">
      <formula>"OK"</formula>
    </cfRule>
    <cfRule type="cellIs" dxfId="4" priority="6" operator="equal">
      <formula>"OK"</formula>
    </cfRule>
  </conditionalFormatting>
  <conditionalFormatting sqref="D13">
    <cfRule type="cellIs" dxfId="3" priority="3" operator="notEqual">
      <formula>"OK"</formula>
    </cfRule>
    <cfRule type="cellIs" dxfId="2" priority="4" operator="equal">
      <formula>"OK"</formula>
    </cfRule>
  </conditionalFormatting>
  <conditionalFormatting sqref="E13">
    <cfRule type="cellIs" dxfId="1" priority="1" operator="notEqual">
      <formula>"OK"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</dc:creator>
  <cp:lastModifiedBy>David Mugo</cp:lastModifiedBy>
  <dcterms:created xsi:type="dcterms:W3CDTF">2018-01-12T06:38:14Z</dcterms:created>
  <dcterms:modified xsi:type="dcterms:W3CDTF">2018-01-16T12:08:22Z</dcterms:modified>
</cp:coreProperties>
</file>